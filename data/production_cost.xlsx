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s" sheetId="1" r:id="rId4"/>
    <sheet state="visible" name="To make 1" sheetId="2" r:id="rId5"/>
  </sheets>
  <definedNames/>
  <calcPr/>
</workbook>
</file>

<file path=xl/sharedStrings.xml><?xml version="1.0" encoding="utf-8"?>
<sst xmlns="http://schemas.openxmlformats.org/spreadsheetml/2006/main" count="125" uniqueCount="88">
  <si>
    <t>Fixed Costs</t>
  </si>
  <si>
    <t>Cost (total for year) - only in $</t>
  </si>
  <si>
    <t>Variable Costs(1000 units)</t>
  </si>
  <si>
    <t>Cost for 1000 units (total for year) - only in $</t>
  </si>
  <si>
    <t>Land (natural resources)</t>
  </si>
  <si>
    <t>Labor</t>
  </si>
  <si>
    <t>Capital (man-made tools)</t>
  </si>
  <si>
    <t>Full Time Software Engineer Salary</t>
  </si>
  <si>
    <t>Water</t>
  </si>
  <si>
    <t>Pranav Salary (Acting as a Marketing Manager)</t>
  </si>
  <si>
    <t>Computers</t>
  </si>
  <si>
    <t>Pranav Salary (Marketing Manager)</t>
  </si>
  <si>
    <t>LED Light Kit</t>
  </si>
  <si>
    <t>Full Time Software Engineer  Slary</t>
  </si>
  <si>
    <t>Website</t>
  </si>
  <si>
    <t>Photoshop</t>
  </si>
  <si>
    <t>Hinges</t>
  </si>
  <si>
    <t xml:space="preserve">Acrylic Panels </t>
  </si>
  <si>
    <t>Screwdriver Set</t>
  </si>
  <si>
    <t>App Development Contract Work</t>
  </si>
  <si>
    <t>Camera with Integrated MicroProcessor</t>
  </si>
  <si>
    <t>Assembly Line Workers(2)</t>
  </si>
  <si>
    <t>Private Office Space Rent</t>
  </si>
  <si>
    <t xml:space="preserve">Internet </t>
  </si>
  <si>
    <t>Camera with Integrated Microprocessor</t>
  </si>
  <si>
    <t>POS System</t>
  </si>
  <si>
    <t>Water cost  (Usage)</t>
  </si>
  <si>
    <t>Packaging</t>
  </si>
  <si>
    <t>Trademark</t>
  </si>
  <si>
    <r>
      <rPr>
        <color rgb="FF1155CC"/>
        <u/>
      </rPr>
      <t>Shipping Cost</t>
    </r>
    <r>
      <rPr>
        <color rgb="FF000000"/>
      </rPr>
      <t xml:space="preserve"> (UPS Ground)</t>
    </r>
  </si>
  <si>
    <t>Screwdriver set</t>
  </si>
  <si>
    <t>Marketing Research</t>
  </si>
  <si>
    <t>Acrylic Panels</t>
  </si>
  <si>
    <t>Screws / Fasteners</t>
  </si>
  <si>
    <r>
      <rPr>
        <color rgb="FF1155CC"/>
        <u/>
      </rPr>
      <t>Shipping Cost</t>
    </r>
    <r>
      <rPr>
        <color rgb="FF000000"/>
      </rPr>
      <t xml:space="preserve"> (UPS Ground)</t>
    </r>
  </si>
  <si>
    <t>Private Office Space For Rent</t>
  </si>
  <si>
    <t>Glue</t>
  </si>
  <si>
    <r>
      <rPr>
        <color rgb="FF1155CC"/>
        <u/>
      </rPr>
      <t>App Development Contractor</t>
    </r>
    <r>
      <rPr/>
      <t xml:space="preserve"> Work</t>
    </r>
  </si>
  <si>
    <t xml:space="preserve">Advertising </t>
  </si>
  <si>
    <t>Acrylic Cutting Machine</t>
  </si>
  <si>
    <t>Software Tools (i.e Claude Code CLI))</t>
  </si>
  <si>
    <t>Advertising</t>
  </si>
  <si>
    <t>Utility Patent Filing</t>
  </si>
  <si>
    <t>Software Tools (Claude Code CLI)</t>
  </si>
  <si>
    <t>Total</t>
  </si>
  <si>
    <t>Internet</t>
  </si>
  <si>
    <t xml:space="preserve">Utility patent filing </t>
  </si>
  <si>
    <t>Total Fixed Costs</t>
  </si>
  <si>
    <t>Total Variable</t>
  </si>
  <si>
    <t>Total Land Costs</t>
  </si>
  <si>
    <t>Total Labor Costs</t>
  </si>
  <si>
    <t>Total Capital Costs</t>
  </si>
  <si>
    <t>Total Cost</t>
  </si>
  <si>
    <r>
      <rPr>
        <b/>
      </rPr>
      <t xml:space="preserve">Average cost to produce your product </t>
    </r>
    <r>
      <rPr>
        <b val="0"/>
      </rPr>
      <t>(take total costs/ divide by the number you plan to produce in the first year)</t>
    </r>
  </si>
  <si>
    <t>Keep in mind that some businesses (especially tech related) you can't really figure out exactly how much it costs for each additional customer who uses the app, etc.</t>
  </si>
  <si>
    <t>How many of your product are you planning to produce or how many of your service are you planning on providing for the year?</t>
  </si>
  <si>
    <t>Resources</t>
  </si>
  <si>
    <t>Acrylic Panel</t>
  </si>
  <si>
    <t>Hyperlink for resource cost</t>
  </si>
  <si>
    <r>
      <rPr>
        <rFont val="&quot;Google Sans&quot;, Roboto, Arial, sans-serif"/>
        <color rgb="FF1155CC"/>
        <sz val="12.0"/>
        <u/>
      </rPr>
      <t>https://craftcorematerials.com/collections/frontpage</t>
    </r>
  </si>
  <si>
    <t>Cost - only in $</t>
  </si>
  <si>
    <t>Variable Costs</t>
  </si>
  <si>
    <t>Land</t>
  </si>
  <si>
    <t xml:space="preserve">Capital </t>
  </si>
  <si>
    <t>Workshop Rent</t>
  </si>
  <si>
    <t>Land Lease</t>
  </si>
  <si>
    <t>Owner/Manager</t>
  </si>
  <si>
    <t>Business License</t>
  </si>
  <si>
    <t>LED Light Strips</t>
  </si>
  <si>
    <t>Utilities</t>
  </si>
  <si>
    <t>Assembly Worker</t>
  </si>
  <si>
    <t>Insurance</t>
  </si>
  <si>
    <t>Power Adapters</t>
  </si>
  <si>
    <t>Electronics Technician</t>
  </si>
  <si>
    <t>Soldering Equipment</t>
  </si>
  <si>
    <t>Website &amp; Hosting</t>
  </si>
  <si>
    <t>Wiring &amp; Switches</t>
  </si>
  <si>
    <t>Packaging Worker</t>
  </si>
  <si>
    <t>Workbenches &amp; Furniture</t>
  </si>
  <si>
    <t>Accounting Software</t>
  </si>
  <si>
    <t>Screws &amp; Adhesives</t>
  </si>
  <si>
    <t>Marketing &amp; Advertising</t>
  </si>
  <si>
    <t>Packaging Materials</t>
  </si>
  <si>
    <t>Instruction Manuals</t>
  </si>
  <si>
    <t>Shipping Costs</t>
  </si>
  <si>
    <t>Replacement/Defect Parts</t>
  </si>
  <si>
    <t>Total Variable Per Unit</t>
  </si>
  <si>
    <t>Total Fixed Per Unit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</si>
</sst>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12">
    <font>
      <sz val="10.0"/>
      <color rgb="FF000000"/>
      <name val="Arial"/>
    </font>
    <font>
      <b/>
      <sz val="12.0"/>
    </font>
    <font/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</font>
    <font>
      <sz val="11.0"/>
    </font>
    <font>
      <i/>
      <sz val="9.0"/>
    </font>
    <font>
      <u/>
      <sz val="12.0"/>
      <color rgb="FFE6E8F0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1F1F1F"/>
        <bgColor rgb="FF1F1F1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1" fillId="0" fontId="3" numFmtId="164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readingOrder="0" shrinkToFit="0" wrapText="1"/>
    </xf>
    <xf borderId="0" fillId="0" fontId="4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1" fillId="0" fontId="2" numFmtId="164" xfId="0" applyAlignment="1" applyBorder="1" applyFont="1" applyNumberFormat="1">
      <alignment shrinkToFit="0" wrapText="1"/>
    </xf>
    <xf borderId="0" fillId="0" fontId="5" numFmtId="0" xfId="0" applyAlignment="1" applyFont="1">
      <alignment readingOrder="0"/>
    </xf>
    <xf borderId="1" fillId="0" fontId="6" numFmtId="164" xfId="0" applyAlignment="1" applyBorder="1" applyFont="1" applyNumberFormat="1">
      <alignment readingOrder="0" shrinkToFit="0" wrapText="1"/>
    </xf>
    <xf borderId="0" fillId="0" fontId="1" numFmtId="0" xfId="0" applyAlignment="1" applyFont="1">
      <alignment horizontal="center" readingOrder="0" shrinkToFit="0" wrapText="1"/>
    </xf>
    <xf borderId="1" fillId="0" fontId="2" numFmtId="164" xfId="0" applyAlignment="1" applyBorder="1" applyFont="1" applyNumberForma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2" numFmtId="165" xfId="0" applyAlignment="1" applyFont="1" applyNumberFormat="1">
      <alignment readingOrder="0" shrinkToFit="0" wrapText="1"/>
    </xf>
    <xf borderId="2" fillId="0" fontId="1" numFmtId="0" xfId="0" applyAlignment="1" applyBorder="1" applyFont="1">
      <alignment horizontal="center" readingOrder="0" shrinkToFit="0" wrapText="1"/>
    </xf>
    <xf borderId="0" fillId="0" fontId="8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164" xfId="0" applyAlignment="1" applyFont="1" applyNumberFormat="1">
      <alignment shrinkToFit="0" wrapText="1"/>
    </xf>
    <xf borderId="2" fillId="0" fontId="2" numFmtId="164" xfId="0" applyAlignment="1" applyBorder="1" applyFont="1" applyNumberFormat="1">
      <alignment shrinkToFit="0" wrapText="1"/>
    </xf>
    <xf borderId="3" fillId="0" fontId="2" numFmtId="164" xfId="0" applyAlignment="1" applyBorder="1" applyFont="1" applyNumberFormat="1">
      <alignment shrinkToFit="0" wrapText="1"/>
    </xf>
    <xf borderId="0" fillId="0" fontId="9" numFmtId="164" xfId="0" applyAlignment="1" applyFont="1" applyNumberForma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4" fillId="0" fontId="1" numFmtId="0" xfId="0" applyAlignment="1" applyBorder="1" applyFont="1">
      <alignment readingOrder="0" shrinkToFit="0" wrapText="1"/>
    </xf>
    <xf borderId="5" fillId="0" fontId="2" numFmtId="0" xfId="0" applyBorder="1" applyFont="1"/>
    <xf borderId="6" fillId="0" fontId="2" numFmtId="0" xfId="0" applyBorder="1" applyFont="1"/>
    <xf borderId="1" fillId="0" fontId="9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2" fontId="1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/>
    </xf>
    <xf borderId="4" fillId="0" fontId="2" numFmtId="164" xfId="0" applyAlignment="1" applyBorder="1" applyFont="1" applyNumberFormat="1">
      <alignment shrinkToFit="0" wrapText="1"/>
    </xf>
    <xf borderId="3" fillId="0" fontId="1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xTool-Flagship-Intelligent-Automation-Auto-Focus/dp/B0FMJLMNF8/ref=sr_1_1_sspa?dib=eyJ2IjoiMSJ9.K8qf7FYOE_1X3YscBpBZUVjeNfRQECSEBr_LPaVjbddTuR_m2WNe6LgUPjZ0Lx8FDluC97xCl5uHbA2zLDiAkbrelbM_G9yIGzlWwYGNz2b36RzXVAnElPtJac7h-mti6xtutkcWEP9BI2k_H6ZjBTLrGXkg7_WjWUe4f9ZtqjZtaTB8adW9co5XZmhsGuPnVRLGdxxBKJz0WsWP7Gru-W7t3uU0ioyrZXPf8vr1WToUyis-PhPjBKo2lWeKyrZiMJERBu-MlnJHxW5jZmkf1j5RzYgLq6yB-b47jIUTcJM.pNGKoOYqg5UGO_8w_KF5C-HK67XkHmMPO46vXQsb7xI&amp;dib_tag=se&amp;keywords=Acrylic%2BCutting%2BMachine&amp;qid=1777152502&amp;sr=8-1-spons&amp;sp_csd=d2lkZ2V0TmFtZT1zcF9hdGY&amp;th=1" TargetMode="External"/><Relationship Id="rId42" Type="http://schemas.openxmlformats.org/officeDocument/2006/relationships/hyperlink" Target="https://claude.com/pricing?utm_source=google&amp;utm_medium=paid_search_coder&amp;utm_campaign=acq_code_us_q3&amp;utm_content=pricing_text_v1&amp;utm_term=nonbrand_claude%20code%20pricing&amp;gclsrc=aw.ds&amp;gad_source=1&amp;gad_campaignid=23253558478&amp;gbraid=0AAAAA99jmqvbJ-Tlg9566gY3o5mO_UpG5&amp;gclid=CjwKCAjwnZfPBhAGEiwAzg-VzGtczkZbCeykiZ2mizFLMwnA8yZwG-GubV0DJQAVV_gRL0TSRgZRqhoC9yYQAvD_BwE" TargetMode="External"/><Relationship Id="rId41" Type="http://schemas.openxmlformats.org/officeDocument/2006/relationships/hyperlink" Target="https://www.lightspeedhq.com/blog/how-much-does-a-pos-system-cost/" TargetMode="External"/><Relationship Id="rId44" Type="http://schemas.openxmlformats.org/officeDocument/2006/relationships/hyperlink" Target="https://www.uspto.gov/sites/default/files/documents/USPTO-fee-schedule_current.pdf?utm_source=chatgpt.com" TargetMode="External"/><Relationship Id="rId43" Type="http://schemas.openxmlformats.org/officeDocument/2006/relationships/hyperlink" Target="https://business.google.com/us/google-ads/" TargetMode="External"/><Relationship Id="rId46" Type="http://schemas.openxmlformats.org/officeDocument/2006/relationships/hyperlink" Target="https://www.legalzoom.com/articles/how-much-does-it-cost-to-trademark-a-business-name" TargetMode="External"/><Relationship Id="rId45" Type="http://schemas.openxmlformats.org/officeDocument/2006/relationships/hyperlink" Target="https://claude.com/pricing?utm_source=google&amp;utm_medium=paid_search_coder&amp;utm_campaign=acq_code_us_q3&amp;utm_content=pricing_text_v1&amp;utm_term=nonbrand_claude%20code%20pricing&amp;gclsrc=aw.ds&amp;gad_source=1&amp;gad_campaignid=23253558478&amp;gbraid=0AAAAA99jmqvbJ-Tlg9566gY3o5mO_UpG5&amp;gclid=CjwKCAjwnZfPBhAGEiwAzg-VzGtczkZbCeykiZ2mizFLMwnA8yZwG-GubV0DJQAVV_gRL0TSRgZRqhoC9yYQAvD_BwE" TargetMode="External"/><Relationship Id="rId1" Type="http://schemas.openxmlformats.org/officeDocument/2006/relationships/hyperlink" Target="https://www.indeed.com/career/entry-level-software-engineer/salaries/CA" TargetMode="External"/><Relationship Id="rId2" Type="http://schemas.openxmlformats.org/officeDocument/2006/relationships/hyperlink" Target="https://www.acwd.org/115/Water-Rates" TargetMode="External"/><Relationship Id="rId3" Type="http://schemas.openxmlformats.org/officeDocument/2006/relationships/hyperlink" Target="https://www.walmart.com/ip/Dell-Optiplex-7450-All-In-One-Desktop-Computer-23-8-1080p-Screen-Intel-Core-i5-7500-3-40GHz-8GB-RAM-500GB-HD-Windows-10/349030183?wmlspartner=wlpa&amp;selectedSellerId=5787" TargetMode="External"/><Relationship Id="rId4" Type="http://schemas.openxmlformats.org/officeDocument/2006/relationships/hyperlink" Target="https://www.amazon.com/Led-Strip-Lights-Bluetooth-Decoration/dp/B0FQJPK5KM/ref=sr_1_37?dib=eyJ2IjoiMSJ9.U4AATl4ouFUd0Tl8yxnAyvOgX6uc2iz29JR9opwqfipoBwmseptxU9E1LQxQBToIHFAC29wIqz54t5n2wmaV9HkqdXfwsNpSM6uX2PlVpG-zHxNkI7_BmR6cySY93pCASGxT4zaoJVJCHTUkHkWko9CrV2o5yA1OA9wA_6ZI_cihC0uuSv0sFfUoI9F6pTH_JnfiX_Eew8svExEHuQB2rkX6YOM68KtqFOhNi54VdwzzH4ABbjjrRfhlU8anb48s90DU--v9c5tLCbvvuxmeA6XtXIbzEJzRWKd4a3siI8M._DbYebgHECS5sAX3sf2r2UGsRVERvITczI8rK3RqsjY&amp;dib_tag=se&amp;keywords=20%27+led+light+strip&amp;qid=1772427583&amp;sr=8-37" TargetMode="External"/><Relationship Id="rId9" Type="http://schemas.openxmlformats.org/officeDocument/2006/relationships/hyperlink" Target="https://craftcorematerials.com/collections/frontpage" TargetMode="External"/><Relationship Id="rId48" Type="http://schemas.openxmlformats.org/officeDocument/2006/relationships/hyperlink" Target="https://www.uspto.gov/sites/default/files/documents/USPTO-fee-schedule_current.pdf?utm_source=chatgpt.com" TargetMode="External"/><Relationship Id="rId47" Type="http://schemas.openxmlformats.org/officeDocument/2006/relationships/hyperlink" Target="https://www.xfinity.com/learn/internet-service" TargetMode="External"/><Relationship Id="rId49" Type="http://schemas.openxmlformats.org/officeDocument/2006/relationships/hyperlink" Target="https://www.homedepot.com/pep/MYWISH-1-4-in-20-x-1-3-4-in-Stainless-Steel-Uncoated-Hex-Bolt-with-Nut-Washer-and-Lock-Washer-10-Pack-SF-DP00079/338765810?g_store=&amp;source=shoppingads&amp;locale=en-US&amp;fp=ggl&amp;pla&amp;cm_mmc=%7B_dscampaign%7D-%7B_dscampaignid%7D-%7B_dsadgroupid%7D-%7B_dstrackerid%7D%3D&amp;gclsrc=aw.ds&amp;gad_source=1&amp;gad_campaignid=20278982799&amp;gbraid=0AAAAADq61UedinGkfbW7ZmxywXwHSKiA2&amp;gclid=CjwKCAjwzLHPBhBTEiwABaLsShaLYrmWosopZuS_7X-G65epKDxPs_kSA5RuNez6xCVvPMC0KqTXVhoCdWAQAvD_BwE" TargetMode="External"/><Relationship Id="rId5" Type="http://schemas.openxmlformats.org/officeDocument/2006/relationships/hyperlink" Target="https://www.indeed.com/career/entry-level-software-engineer/salaries/CA" TargetMode="External"/><Relationship Id="rId6" Type="http://schemas.openxmlformats.org/officeDocument/2006/relationships/hyperlink" Target="https://appetiser.com.au/blog/app-marketing-cost/" TargetMode="External"/><Relationship Id="rId7" Type="http://schemas.openxmlformats.org/officeDocument/2006/relationships/hyperlink" Target="https://www.adobe.com/products/photoshop/plans.html" TargetMode="External"/><Relationship Id="rId8" Type="http://schemas.openxmlformats.org/officeDocument/2006/relationships/hyperlink" Target="https://www.amazon.com/Goldenwarm-Hinges-Radius-Corners-Capacity/dp/B09CDC2N54/ref=sr_1_8?c=ts&amp;dib=eyJ2IjoiMSJ9.tUjhBAK5B6C8SagnzDSQjiuLMBUFc7Jq0vAXIu-IRI_7g_NibDs-J6-PEaBbZ1pkycdsD8dfWXLR6ZkCtPL-Od8KmwUUWc7kDc92imU5RY3GmzFbXmCogAy7taKnbBhuzAZw9PQIIN0De5faj8X5-AyFeOWBKt56kgbA_6WYCzfDk74ez8chV7MJAGdcMEqgiKFtqDa0vKbKHymxDEC1qfinRMFl1ywx0hpApER3rE03g6AY4Rk9kvTP9zD7_P6nuJEPSBQyk7O5sLQTIX9U3D8HgqjbrpOeelZzJ9-UGd8.RYTxa8m6BggbQYpb5fIwj4ZnBoRkAE3XtJ5SbDwefo4&amp;dib_tag=se&amp;keywords=Door%2BHinges&amp;qid=1772428428&amp;refinements=p_36%3A1000-1500&amp;s=hardware&amp;sr=1-8&amp;ts_id=511286&amp;th=1" TargetMode="External"/><Relationship Id="rId31" Type="http://schemas.openxmlformats.org/officeDocument/2006/relationships/hyperlink" Target="https://www.ziprecruiter.com/Salaries/Assembler-Salary-in-Fremont,CA" TargetMode="External"/><Relationship Id="rId30" Type="http://schemas.openxmlformats.org/officeDocument/2006/relationships/hyperlink" Target="https://www.laribbonscustom.com/products/100-pcs-custom-printed-boxes-packaging?variant=43035420622913&amp;_gsid=gkfQRRcntPGd&amp;utm_source=chatgpt.com" TargetMode="External"/><Relationship Id="rId33" Type="http://schemas.openxmlformats.org/officeDocument/2006/relationships/hyperlink" Target="https://wwwapps.ups.com/ctc/request" TargetMode="External"/><Relationship Id="rId32" Type="http://schemas.openxmlformats.org/officeDocument/2006/relationships/hyperlink" Target="https://www.homedepot.com/pep/MYWISH-1-4-in-20-x-1-3-4-in-Stainless-Steel-Uncoated-Hex-Bolt-with-Nut-Washer-and-Lock-Washer-10-Pack-SF-DP00079/338765810?g_store=&amp;source=shoppingads&amp;locale=en-US&amp;fp=ggl&amp;pla&amp;cm_mmc=%7B_dscampaign%7D-%7B_dscampaignid%7D-%7B_dsadgroupid%7D-%7B_dstrackerid%7D%3D&amp;gclsrc=aw.ds&amp;gad_source=1&amp;gad_campaignid=20278982799&amp;gbraid=0AAAAADq61UedinGkfbW7ZmxywXwHSKiA2&amp;gclid=CjwKCAjwzLHPBhBTEiwABaLsShaLYrmWosopZuS_7X-G65epKDxPs_kSA5RuNez6xCVvPMC0KqTXVhoCdWAQAvD_BwE" TargetMode="External"/><Relationship Id="rId35" Type="http://schemas.openxmlformats.org/officeDocument/2006/relationships/hyperlink" Target="https://www.homedepot.com/pep/J-B-Weld-10-oz-Kwik-Pro-Epoxy-8271/308472460?source=shoppingads&amp;locale=en-US&amp;fp=ggl&amp;pla=&amp;cm_mmc=%7B_dscampaign%7D-%7B_dscampaignid%7D-%7B_dsadgroupid%7D-%7B_dstrackerid%7D%3D&amp;gclsrc=aw.ds&amp;gad_source=1&amp;gad_campaignid=20981910911&amp;gbraid=0AAAAADq61UeCCT7QFH-a0uuSSziNQOeyV&amp;gclid=CjwKCAjwzLHPBhBTEiwABaLsSpUQt_1EqRn2si9H85kTiOVUgg685gmXrIIl1iKgPdXPMMTX_Tuq1RoCbS8QAvD_BwE" TargetMode="External"/><Relationship Id="rId34" Type="http://schemas.openxmlformats.org/officeDocument/2006/relationships/hyperlink" Target="https://www.loopnet.com/Listing/1580-Oakland-Rd-San-Jose-CA/29063071/" TargetMode="External"/><Relationship Id="rId37" Type="http://schemas.openxmlformats.org/officeDocument/2006/relationships/hyperlink" Target="https://www.couchbase.com/blog/app-development-costs/" TargetMode="External"/><Relationship Id="rId36" Type="http://schemas.openxmlformats.org/officeDocument/2006/relationships/hyperlink" Target="https://blog.sagipl.com/how-much-cost-to-market-an-app/" TargetMode="External"/><Relationship Id="rId39" Type="http://schemas.openxmlformats.org/officeDocument/2006/relationships/hyperlink" Target="https://business.google.com/us/google-ads/" TargetMode="External"/><Relationship Id="rId38" Type="http://schemas.openxmlformats.org/officeDocument/2006/relationships/hyperlink" Target="https://www.homedepot.com/pep/J-B-Weld-10-oz-Kwik-Pro-Epoxy-8271/308472460?source=shoppingads&amp;locale=en-US&amp;fp=ggl&amp;pla=&amp;cm_mmc=%7B_dscampaign%7D-%7B_dscampaignid%7D-%7B_dsadgroupid%7D-%7B_dstrackerid%7D%3D&amp;gclsrc=aw.ds&amp;gad_source=1&amp;gad_campaignid=20981910911&amp;gbraid=0AAAAADq61UeCCT7QFH-a0uuSSziNQOeyV&amp;gclid=CjwKCAjwzLHPBhBTEiwABaLsSpUQt_1EqRn2si9H85kTiOVUgg685gmXrIIl1iKgPdXPMMTX_Tuq1RoCbS8QAvD_BwE" TargetMode="External"/><Relationship Id="rId20" Type="http://schemas.openxmlformats.org/officeDocument/2006/relationships/hyperlink" Target="https://www.acwd.org/115/Water-Rates" TargetMode="External"/><Relationship Id="rId22" Type="http://schemas.openxmlformats.org/officeDocument/2006/relationships/hyperlink" Target="https://appetiser.com.au/blog/app-marketing-cost/" TargetMode="External"/><Relationship Id="rId21" Type="http://schemas.openxmlformats.org/officeDocument/2006/relationships/hyperlink" Target="https://www.amazon.com/Led-Strip-Lights-Bluetooth-Decoration/dp/B0FQJPK5KM/ref=sr_1_37?dib=eyJ2IjoiMSJ9.U4AATl4ouFUd0Tl8yxnAyvOgX6uc2iz29JR9opwqfipoBwmseptxU9E1LQxQBToIHFAC29wIqz54t5n2wmaV9HkqdXfwsNpSM6uX2PlVpG-zHxNkI7_BmR6cySY93pCASGxT4zaoJVJCHTUkHkWko9CrV2o5yA1OA9wA_6ZI_cihC0uuSv0sFfUoI9F6pTH_JnfiX_Eew8svExEHuQB2rkX6YOM68KtqFOhNi54VdwzzH4ABbjjrRfhlU8anb48s90DU--v9c5tLCbvvuxmeA6XtXIbzEJzRWKd4a3siI8M._DbYebgHECS5sAX3sf2r2UGsRVERvITczI8rK3RqsjY&amp;dib_tag=se&amp;keywords=20%27+led+light+strip&amp;qid=1772427583&amp;sr=8-37" TargetMode="External"/><Relationship Id="rId24" Type="http://schemas.openxmlformats.org/officeDocument/2006/relationships/hyperlink" Target="https://www.amazon.com/Goldenwarm-Hinges-Radius-Corners-Capacity/dp/B09CDC2N54/ref=sr_1_8?c=ts&amp;dib=eyJ2IjoiMSJ9.tUjhBAK5B6C8SagnzDSQjiuLMBUFc7Jq0vAXIu-IRI_7g_NibDs-J6-PEaBbZ1pkycdsD8dfWXLR6ZkCtPL-Od8KmwUUWc7kDc92imU5RY3GmzFbXmCogAy7taKnbBhuzAZw9PQIIN0De5faj8X5-AyFeOWBKt56kgbA_6WYCzfDk74ez8chV7MJAGdcMEqgiKFtqDa0vKbKHymxDEC1qfinRMFl1ywx0hpApER3rE03g6AY4Rk9kvTP9zD7_P6nuJEPSBQyk7O5sLQTIX9U3D8HgqjbrpOeelZzJ9-UGd8.RYTxa8m6BggbQYpb5fIwj4ZnBoRkAE3XtJ5SbDwefo4&amp;dib_tag=se&amp;keywords=Door%2BHinges&amp;qid=1772428428&amp;refinements=p_36%3A1000-1500&amp;s=hardware&amp;sr=1-8&amp;ts_id=511286&amp;th=1" TargetMode="External"/><Relationship Id="rId23" Type="http://schemas.openxmlformats.org/officeDocument/2006/relationships/hyperlink" Target="https://www.laribbonscustom.com/products/100-pcs-custom-printed-boxes-packaging?variant=43035420622913&amp;_gsid=gkfQRRcntPGd&amp;utm_source=chatgpt.com" TargetMode="External"/><Relationship Id="rId26" Type="http://schemas.openxmlformats.org/officeDocument/2006/relationships/hyperlink" Target="https://wwwapps.ups.com/ctc/request" TargetMode="External"/><Relationship Id="rId25" Type="http://schemas.openxmlformats.org/officeDocument/2006/relationships/hyperlink" Target="https://www.legalzoom.com/articles/how-much-does-it-cost-to-trademark-a-business-name" TargetMode="External"/><Relationship Id="rId28" Type="http://schemas.openxmlformats.org/officeDocument/2006/relationships/hyperlink" Target="https://blog.sagipl.com/how-much-cost-to-market-an-app/" TargetMode="External"/><Relationship Id="rId27" Type="http://schemas.openxmlformats.org/officeDocument/2006/relationships/hyperlink" Target="https://www.harborfreight.com/professional-mechanics-screwdriver-set-8-piece-green-73154.html" TargetMode="External"/><Relationship Id="rId29" Type="http://schemas.openxmlformats.org/officeDocument/2006/relationships/hyperlink" Target="https://craftcorematerials.com/collections/frontpage" TargetMode="External"/><Relationship Id="rId51" Type="http://schemas.openxmlformats.org/officeDocument/2006/relationships/hyperlink" Target="https://craftcorematerials.com/collections/frontpage" TargetMode="External"/><Relationship Id="rId50" Type="http://schemas.openxmlformats.org/officeDocument/2006/relationships/hyperlink" Target="https://www.amazon.com/xTool-Flagship-Intelligent-Automation-Auto-Focus/dp/B0FMJLMNF8/ref=sr_1_1_sspa?dib=eyJ2IjoiMSJ9.K8qf7FYOE_1X3YscBpBZUVjeNfRQECSEBr_LPaVjbddTuR_m2WNe6LgUPjZ0Lx8FDluC97xCl5uHbA2zLDiAkbrelbM_G9yIGzlWwYGNz2b36RzXVAnElPtJac7h-mti6xtutkcWEP9BI2k_H6ZjBTLrGXkg7_WjWUe4f9ZtqjZtaTB8adW9co5XZmhsGuPnVRLGdxxBKJz0WsWP7Gru-W7t3uU0ioyrZXPf8vr1WToUyis-PhPjBKo2lWeKyrZiMJERBu-MlnJHxW5jZmkf1j5RzYgLq6yB-b47jIUTcJM.pNGKoOYqg5UGO_8w_KF5C-HK67XkHmMPO46vXQsb7xI&amp;dib_tag=se&amp;keywords=Acrylic%2BCutting%2BMachine&amp;qid=1777152502&amp;sr=8-1-spons&amp;sp_csd=d2lkZ2V0TmFtZT1zcF9hdGY&amp;th=1" TargetMode="External"/><Relationship Id="rId52" Type="http://schemas.openxmlformats.org/officeDocument/2006/relationships/drawing" Target="../drawings/drawing1.xml"/><Relationship Id="rId11" Type="http://schemas.openxmlformats.org/officeDocument/2006/relationships/hyperlink" Target="https://www.harborfreight.com/professional-mechanics-screwdriver-set-8-piece-green-73154.html" TargetMode="External"/><Relationship Id="rId10" Type="http://schemas.openxmlformats.org/officeDocument/2006/relationships/hyperlink" Target="https://www.walmart.com/ip/Dell-Optiplex-7450-All-In-One-Desktop-Computer-23-8-1080p-Screen-Intel-Core-i5-7500-3-40GHz-8GB-RAM-500GB-HD-Windows-10/349030183?wmlspartner=wlpa&amp;selectedSellerId=5787" TargetMode="External"/><Relationship Id="rId13" Type="http://schemas.openxmlformats.org/officeDocument/2006/relationships/hyperlink" Target="https://www.adobe.com/products/photoshop/plans.html" TargetMode="External"/><Relationship Id="rId12" Type="http://schemas.openxmlformats.org/officeDocument/2006/relationships/hyperlink" Target="https://www.couchbase.com/blog/app-development-costs/" TargetMode="External"/><Relationship Id="rId15" Type="http://schemas.openxmlformats.org/officeDocument/2006/relationships/hyperlink" Target="https://www.ziprecruiter.com/Salaries/Assembler-Salary-in-Fremont,CA" TargetMode="External"/><Relationship Id="rId14" Type="http://schemas.openxmlformats.org/officeDocument/2006/relationships/hyperlink" Target="https://www.instructables.com/DIY-25-USD-Security-Camera-ESP32-CAM/" TargetMode="External"/><Relationship Id="rId17" Type="http://schemas.openxmlformats.org/officeDocument/2006/relationships/hyperlink" Target="https://www.xfinity.com/learn/internet-service" TargetMode="External"/><Relationship Id="rId16" Type="http://schemas.openxmlformats.org/officeDocument/2006/relationships/hyperlink" Target="https://www.loopnet.com/Listing/1580-Oakland-Rd-San-Jose-CA/29063071/" TargetMode="External"/><Relationship Id="rId19" Type="http://schemas.openxmlformats.org/officeDocument/2006/relationships/hyperlink" Target="https://www.lightspeedhq.com/blog/how-much-does-a-pos-system-cost/" TargetMode="External"/><Relationship Id="rId18" Type="http://schemas.openxmlformats.org/officeDocument/2006/relationships/hyperlink" Target="https://www.instructables.com/DIY-25-USD-Security-Camera-ESP32-CA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12.88"/>
    <col customWidth="1" min="3" max="3" width="26.88"/>
    <col customWidth="1" min="4" max="4" width="15.63"/>
    <col customWidth="1" min="7" max="7" width="30.13"/>
    <col customWidth="1" min="8" max="8" width="11.63"/>
    <col customWidth="1" min="9" max="9" width="30.0"/>
    <col customWidth="1" min="10" max="10" width="11.38"/>
    <col customWidth="1" min="11" max="11" width="30.13"/>
    <col customWidth="1" min="12" max="12" width="11.75"/>
  </cols>
  <sheetData>
    <row r="1" ht="5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3"/>
      <c r="G1" s="1" t="s">
        <v>4</v>
      </c>
      <c r="H1" s="1" t="s">
        <v>1</v>
      </c>
      <c r="I1" s="1" t="s">
        <v>5</v>
      </c>
      <c r="J1" s="1" t="s">
        <v>1</v>
      </c>
      <c r="K1" s="1" t="s">
        <v>6</v>
      </c>
      <c r="L1" s="1" t="s">
        <v>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26.25" customHeight="1">
      <c r="A2" s="4" t="s">
        <v>7</v>
      </c>
      <c r="B2" s="5">
        <v>71428.0</v>
      </c>
      <c r="C2" s="6"/>
      <c r="D2" s="5"/>
      <c r="E2" s="2"/>
      <c r="F2" s="2"/>
      <c r="G2" s="4" t="s">
        <v>8</v>
      </c>
      <c r="H2" s="5">
        <v>4032.0</v>
      </c>
      <c r="I2" s="5" t="s">
        <v>9</v>
      </c>
      <c r="J2" s="5">
        <v>0.0</v>
      </c>
      <c r="K2" s="4" t="s">
        <v>10</v>
      </c>
      <c r="L2" s="5">
        <v>2800.0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6.25" customHeight="1">
      <c r="A3" s="5" t="s">
        <v>11</v>
      </c>
      <c r="B3" s="5">
        <v>0.0</v>
      </c>
      <c r="C3" s="4" t="s">
        <v>12</v>
      </c>
      <c r="D3" s="5">
        <v>20000.0</v>
      </c>
      <c r="E3" s="2"/>
      <c r="F3" s="2"/>
      <c r="G3" s="5"/>
      <c r="H3" s="5"/>
      <c r="I3" s="4" t="s">
        <v>13</v>
      </c>
      <c r="J3" s="5">
        <v>71428.0</v>
      </c>
      <c r="K3" s="4" t="s">
        <v>14</v>
      </c>
      <c r="L3" s="5">
        <v>0.0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26.25" customHeight="1">
      <c r="A4" s="4" t="s">
        <v>15</v>
      </c>
      <c r="B4" s="5">
        <v>719.0</v>
      </c>
      <c r="C4" s="4" t="s">
        <v>16</v>
      </c>
      <c r="D4" s="5">
        <v>12000.0</v>
      </c>
      <c r="E4" s="2"/>
      <c r="F4" s="2"/>
      <c r="G4" s="7"/>
      <c r="H4" s="7"/>
      <c r="I4" s="6"/>
      <c r="J4" s="5"/>
      <c r="K4" s="4" t="s">
        <v>17</v>
      </c>
      <c r="L4" s="5">
        <v>8000.0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26.25" customHeight="1">
      <c r="A5" s="4" t="s">
        <v>10</v>
      </c>
      <c r="B5" s="5">
        <v>2800.0</v>
      </c>
      <c r="C5" s="4" t="s">
        <v>18</v>
      </c>
      <c r="D5" s="5">
        <v>1000.0</v>
      </c>
      <c r="E5" s="2"/>
      <c r="F5" s="2"/>
      <c r="G5" s="7"/>
      <c r="H5" s="7"/>
      <c r="I5" s="4" t="s">
        <v>19</v>
      </c>
      <c r="J5" s="5">
        <v>210000.0</v>
      </c>
      <c r="K5" s="4" t="s">
        <v>15</v>
      </c>
      <c r="L5" s="5">
        <v>719.0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26.25" customHeight="1">
      <c r="A6" s="6"/>
      <c r="B6" s="5"/>
      <c r="C6" s="4" t="s">
        <v>20</v>
      </c>
      <c r="D6" s="5">
        <v>25000.0</v>
      </c>
      <c r="E6" s="2"/>
      <c r="F6" s="2"/>
      <c r="G6" s="7"/>
      <c r="H6" s="7"/>
      <c r="I6" s="8" t="s">
        <v>21</v>
      </c>
      <c r="J6" s="9">
        <v>80000.0</v>
      </c>
      <c r="K6" s="4" t="s">
        <v>22</v>
      </c>
      <c r="L6" s="5">
        <v>39520.0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26.25" customHeight="1">
      <c r="A7" s="4" t="s">
        <v>23</v>
      </c>
      <c r="B7" s="5">
        <v>1200.0</v>
      </c>
      <c r="C7" s="6"/>
      <c r="D7" s="5"/>
      <c r="E7" s="2"/>
      <c r="F7" s="2"/>
      <c r="G7" s="7"/>
      <c r="H7" s="7"/>
      <c r="I7" s="9"/>
      <c r="J7" s="9"/>
      <c r="K7" s="4" t="s">
        <v>24</v>
      </c>
      <c r="L7" s="5">
        <v>25000.0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26.25" customHeight="1">
      <c r="A8" s="4" t="s">
        <v>25</v>
      </c>
      <c r="B8" s="5">
        <v>2200.0</v>
      </c>
      <c r="C8" s="4" t="s">
        <v>26</v>
      </c>
      <c r="D8" s="5">
        <v>4032.0</v>
      </c>
      <c r="E8" s="2"/>
      <c r="F8" s="2"/>
      <c r="G8" s="7"/>
      <c r="H8" s="7"/>
      <c r="I8" s="5"/>
      <c r="J8" s="5"/>
      <c r="K8" s="4" t="s">
        <v>12</v>
      </c>
      <c r="L8" s="5">
        <v>20000.0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26.25" customHeight="1">
      <c r="A9" s="4" t="s">
        <v>14</v>
      </c>
      <c r="B9" s="5">
        <v>0.0</v>
      </c>
      <c r="C9" s="4" t="s">
        <v>27</v>
      </c>
      <c r="D9" s="5">
        <v>6000.0</v>
      </c>
      <c r="E9" s="2"/>
      <c r="F9" s="2"/>
      <c r="G9" s="7"/>
      <c r="H9" s="7"/>
      <c r="I9" s="5"/>
      <c r="J9" s="5"/>
      <c r="K9" s="4" t="s">
        <v>16</v>
      </c>
      <c r="L9" s="5">
        <v>12000.0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26.25" customHeight="1">
      <c r="A10" s="4" t="s">
        <v>28</v>
      </c>
      <c r="B10" s="5">
        <v>500.0</v>
      </c>
      <c r="C10" s="4" t="s">
        <v>29</v>
      </c>
      <c r="D10" s="5">
        <v>13000.0</v>
      </c>
      <c r="E10" s="2"/>
      <c r="F10" s="2"/>
      <c r="G10" s="10"/>
      <c r="H10" s="10"/>
      <c r="I10" s="10"/>
      <c r="J10" s="10"/>
      <c r="K10" s="11" t="s">
        <v>30</v>
      </c>
      <c r="L10" s="5">
        <v>1000.0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26.25" customHeight="1">
      <c r="A11" s="12" t="s">
        <v>31</v>
      </c>
      <c r="B11" s="7">
        <v>10000.0</v>
      </c>
      <c r="C11" s="12" t="s">
        <v>32</v>
      </c>
      <c r="D11" s="7">
        <v>8000.0</v>
      </c>
      <c r="E11" s="13"/>
      <c r="F11" s="2"/>
      <c r="G11" s="10"/>
      <c r="H11" s="10"/>
      <c r="I11" s="10"/>
      <c r="J11" s="10"/>
      <c r="K11" s="4" t="s">
        <v>27</v>
      </c>
      <c r="L11" s="5">
        <v>6000.0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26.25" customHeight="1">
      <c r="A12" s="12" t="s">
        <v>21</v>
      </c>
      <c r="B12" s="7">
        <v>80000.0</v>
      </c>
      <c r="C12" s="8" t="s">
        <v>33</v>
      </c>
      <c r="D12" s="7">
        <v>1500.0</v>
      </c>
      <c r="E12" s="13"/>
      <c r="F12" s="2"/>
      <c r="G12" s="10"/>
      <c r="H12" s="10"/>
      <c r="I12" s="10"/>
      <c r="J12" s="10"/>
      <c r="K12" s="12" t="s">
        <v>34</v>
      </c>
      <c r="L12" s="5">
        <v>13000.0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26.25" customHeight="1">
      <c r="A13" s="12" t="s">
        <v>35</v>
      </c>
      <c r="B13" s="7">
        <v>39520.0</v>
      </c>
      <c r="C13" s="12" t="s">
        <v>36</v>
      </c>
      <c r="D13" s="7">
        <v>800.0</v>
      </c>
      <c r="E13" s="13"/>
      <c r="F13" s="2"/>
      <c r="G13" s="10"/>
      <c r="H13" s="10"/>
      <c r="I13" s="10"/>
      <c r="J13" s="10"/>
      <c r="K13" s="12" t="s">
        <v>31</v>
      </c>
      <c r="L13" s="7">
        <v>10000.0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26.25" customHeight="1">
      <c r="A14" s="12" t="s">
        <v>37</v>
      </c>
      <c r="B14" s="7">
        <v>210000.0</v>
      </c>
      <c r="C14" s="13"/>
      <c r="D14" s="2"/>
      <c r="E14" s="10"/>
      <c r="F14" s="10"/>
      <c r="G14" s="10"/>
      <c r="H14" s="10"/>
      <c r="I14" s="14"/>
      <c r="J14" s="7"/>
      <c r="K14" s="15" t="s">
        <v>36</v>
      </c>
      <c r="L14" s="16">
        <v>800.0</v>
      </c>
      <c r="M14" s="2"/>
      <c r="N14" s="2"/>
      <c r="O14" s="2"/>
      <c r="P14" s="2"/>
      <c r="Q14" s="2"/>
      <c r="R14" s="2"/>
      <c r="S14" s="2"/>
      <c r="T14" s="2"/>
      <c r="U14" s="2"/>
      <c r="V14" s="2"/>
    </row>
    <row r="15" ht="26.25" customHeight="1">
      <c r="A15" s="11" t="s">
        <v>38</v>
      </c>
      <c r="B15" s="7">
        <v>12000.0</v>
      </c>
      <c r="C15" s="12" t="s">
        <v>39</v>
      </c>
      <c r="D15" s="7">
        <v>6400.0</v>
      </c>
      <c r="E15" s="13"/>
      <c r="F15" s="2"/>
      <c r="G15" s="10"/>
      <c r="H15" s="10"/>
      <c r="I15" s="10"/>
      <c r="J15" s="10"/>
      <c r="K15" s="11" t="s">
        <v>25</v>
      </c>
      <c r="L15" s="7">
        <v>2200.0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26.25" customHeight="1">
      <c r="A16" s="11" t="s">
        <v>40</v>
      </c>
      <c r="B16" s="7">
        <v>720.0</v>
      </c>
      <c r="C16" s="10"/>
      <c r="D16" s="10"/>
      <c r="E16" s="13"/>
      <c r="F16" s="2"/>
      <c r="G16" s="10"/>
      <c r="H16" s="10"/>
      <c r="I16" s="10"/>
      <c r="J16" s="10"/>
      <c r="K16" s="11" t="s">
        <v>41</v>
      </c>
      <c r="L16" s="7">
        <v>12000.0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26.25" customHeight="1">
      <c r="A17" s="11" t="s">
        <v>42</v>
      </c>
      <c r="B17" s="7">
        <v>10000.0</v>
      </c>
      <c r="C17" s="10"/>
      <c r="D17" s="10"/>
      <c r="E17" s="13"/>
      <c r="F17" s="2"/>
      <c r="G17" s="10"/>
      <c r="H17" s="10"/>
      <c r="I17" s="10"/>
      <c r="J17" s="10"/>
      <c r="K17" s="11" t="s">
        <v>43</v>
      </c>
      <c r="L17" s="7">
        <v>720.0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26.25" customHeight="1">
      <c r="B18" s="7"/>
      <c r="C18" s="7"/>
      <c r="D18" s="10"/>
      <c r="E18" s="13"/>
      <c r="F18" s="2"/>
      <c r="G18" s="10"/>
      <c r="H18" s="10"/>
      <c r="I18" s="10"/>
      <c r="J18" s="10"/>
      <c r="K18" s="11" t="s">
        <v>28</v>
      </c>
      <c r="L18" s="7">
        <v>500.0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26.25" customHeight="1">
      <c r="B19" s="7"/>
      <c r="C19" s="7"/>
      <c r="D19" s="10"/>
      <c r="E19" s="17" t="s">
        <v>44</v>
      </c>
      <c r="F19" s="2"/>
      <c r="G19" s="10"/>
      <c r="H19" s="10"/>
      <c r="I19" s="10"/>
      <c r="J19" s="10"/>
      <c r="K19" s="11" t="s">
        <v>45</v>
      </c>
      <c r="L19" s="7">
        <v>1200.0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26.25" customHeight="1">
      <c r="A20" s="18"/>
      <c r="B20" s="19"/>
      <c r="C20" s="18"/>
      <c r="D20" s="20"/>
      <c r="E20" s="21"/>
      <c r="F20" s="2"/>
      <c r="G20" s="18"/>
      <c r="H20" s="19"/>
      <c r="I20" s="18"/>
      <c r="J20" s="19"/>
      <c r="K20" s="8" t="s">
        <v>46</v>
      </c>
      <c r="L20" s="19">
        <v>10000.0</v>
      </c>
      <c r="M20" s="18"/>
      <c r="N20" s="19"/>
      <c r="O20" s="2"/>
      <c r="P20" s="2"/>
      <c r="Q20" s="2"/>
      <c r="R20" s="2"/>
      <c r="S20" s="2"/>
      <c r="T20" s="2"/>
      <c r="U20" s="2"/>
      <c r="V20" s="2"/>
      <c r="W20" s="2"/>
    </row>
    <row r="21" ht="26.25" customHeight="1">
      <c r="A21" s="18"/>
      <c r="B21" s="19"/>
      <c r="C21" s="18"/>
      <c r="D21" s="20"/>
      <c r="E21" s="21"/>
      <c r="F21" s="2"/>
      <c r="G21" s="18"/>
      <c r="H21" s="19"/>
      <c r="I21" s="18"/>
      <c r="J21" s="19"/>
      <c r="K21" s="8" t="s">
        <v>33</v>
      </c>
      <c r="L21" s="19">
        <v>1500.0</v>
      </c>
      <c r="M21" s="18"/>
      <c r="N21" s="19"/>
      <c r="O21" s="2"/>
      <c r="P21" s="2"/>
      <c r="Q21" s="2"/>
      <c r="R21" s="2"/>
      <c r="S21" s="2"/>
      <c r="T21" s="2"/>
      <c r="U21" s="2"/>
      <c r="V21" s="2"/>
      <c r="W21" s="2"/>
    </row>
    <row r="22" ht="26.25" customHeight="1">
      <c r="A22" s="18"/>
      <c r="B22" s="19"/>
      <c r="C22" s="18"/>
      <c r="D22" s="20"/>
      <c r="E22" s="21"/>
      <c r="F22" s="2"/>
      <c r="G22" s="18"/>
      <c r="H22" s="19"/>
      <c r="I22" s="18"/>
      <c r="J22" s="19"/>
      <c r="K22" s="11" t="s">
        <v>39</v>
      </c>
      <c r="L22" s="19">
        <v>6400.0</v>
      </c>
      <c r="M22" s="18"/>
      <c r="N22" s="19"/>
      <c r="O22" s="2"/>
      <c r="P22" s="2"/>
      <c r="Q22" s="2"/>
      <c r="R22" s="2"/>
      <c r="S22" s="2"/>
      <c r="T22" s="2"/>
      <c r="U22" s="2"/>
      <c r="V22" s="2"/>
      <c r="W22" s="2"/>
    </row>
    <row r="23" ht="26.25" customHeight="1">
      <c r="A23" s="18" t="s">
        <v>47</v>
      </c>
      <c r="B23" s="19">
        <f>SUM(B2:B19)</f>
        <v>441087</v>
      </c>
      <c r="C23" s="18" t="s">
        <v>48</v>
      </c>
      <c r="D23" s="20">
        <f>SUM(D3:D19)</f>
        <v>97732</v>
      </c>
      <c r="E23" s="22">
        <f>B23+D23</f>
        <v>538819</v>
      </c>
      <c r="F23" s="2"/>
      <c r="G23" s="18" t="s">
        <v>49</v>
      </c>
      <c r="H23" s="19">
        <f>SUM(H2:H19)</f>
        <v>4032</v>
      </c>
      <c r="I23" s="18" t="s">
        <v>50</v>
      </c>
      <c r="J23" s="19">
        <f>SUM(J2:J19)</f>
        <v>361428</v>
      </c>
      <c r="K23" s="18" t="s">
        <v>51</v>
      </c>
      <c r="L23" s="19">
        <f>SUM(L2:L22)</f>
        <v>173359</v>
      </c>
      <c r="M23" s="18" t="s">
        <v>52</v>
      </c>
      <c r="N23" s="19">
        <f>SUM(H23+J23+L23)</f>
        <v>538819</v>
      </c>
      <c r="O23" s="2"/>
      <c r="P23" s="2"/>
      <c r="Q23" s="2"/>
      <c r="R23" s="2"/>
      <c r="S23" s="2"/>
      <c r="T23" s="2"/>
      <c r="U23" s="2"/>
      <c r="V23" s="2"/>
      <c r="W23" s="2"/>
    </row>
    <row r="24" ht="26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52.5" customHeight="1">
      <c r="A25" s="2"/>
      <c r="B25" s="2"/>
      <c r="C25" s="18" t="s">
        <v>53</v>
      </c>
      <c r="D25" s="23">
        <f>D23/E27</f>
        <v>97.732</v>
      </c>
      <c r="E25" s="2"/>
      <c r="F25" s="2"/>
      <c r="G25" s="2"/>
      <c r="H25" s="2"/>
      <c r="I25" s="2"/>
      <c r="J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70.5" customHeight="1">
      <c r="A26" s="2"/>
      <c r="B26" s="24"/>
      <c r="C26" s="25" t="s">
        <v>54</v>
      </c>
      <c r="D26" s="24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70.5" customHeight="1">
      <c r="A27" s="2"/>
      <c r="B27" s="26" t="s">
        <v>55</v>
      </c>
      <c r="C27" s="27"/>
      <c r="D27" s="28"/>
      <c r="E27" s="29">
        <v>1000.0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26.25" customHeight="1">
      <c r="A28" s="18" t="s">
        <v>56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30" t="s">
        <v>57</v>
      </c>
      <c r="B29" s="18" t="s">
        <v>58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/>
      <c r="B30" s="31" t="s">
        <v>59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30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</row>
    <row r="1007"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</row>
    <row r="1008"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</row>
  </sheetData>
  <mergeCells count="1">
    <mergeCell ref="B27:D27"/>
  </mergeCells>
  <hyperlinks>
    <hyperlink r:id="rId1" ref="A2"/>
    <hyperlink r:id="rId2" ref="G2"/>
    <hyperlink r:id="rId3" ref="K2"/>
    <hyperlink r:id="rId4" ref="C3"/>
    <hyperlink r:id="rId5" ref="I3"/>
    <hyperlink r:id="rId6" ref="K3"/>
    <hyperlink r:id="rId7" ref="A4"/>
    <hyperlink r:id="rId8" ref="C4"/>
    <hyperlink r:id="rId9" ref="K4"/>
    <hyperlink r:id="rId10" ref="A5"/>
    <hyperlink r:id="rId11" ref="C5"/>
    <hyperlink r:id="rId12" location=":~:text=Simple%20apps%20with%20basic%20functionality,%2430%2C000%20to%20%24500%2C000%20and%20more." ref="I5"/>
    <hyperlink r:id="rId13" ref="K5"/>
    <hyperlink r:id="rId14" ref="C6"/>
    <hyperlink r:id="rId15" ref="I6"/>
    <hyperlink r:id="rId16" ref="K6"/>
    <hyperlink r:id="rId17" ref="A7"/>
    <hyperlink r:id="rId18" ref="K7"/>
    <hyperlink r:id="rId19" ref="A8"/>
    <hyperlink r:id="rId20" ref="C8"/>
    <hyperlink r:id="rId21" ref="K8"/>
    <hyperlink r:id="rId22" ref="A9"/>
    <hyperlink r:id="rId23" ref="C9"/>
    <hyperlink r:id="rId24" ref="K9"/>
    <hyperlink r:id="rId25" ref="A10"/>
    <hyperlink r:id="rId26" ref="C10"/>
    <hyperlink r:id="rId27" ref="K10"/>
    <hyperlink r:id="rId28" location=":~:text=Market%20research%20is%20conducted%20before,vary%20between%20%245%2C000%20and%20%2415%2C000." ref="A11"/>
    <hyperlink r:id="rId29" ref="C11"/>
    <hyperlink r:id="rId30" ref="K11"/>
    <hyperlink r:id="rId31" ref="A12"/>
    <hyperlink r:id="rId32" ref="C12"/>
    <hyperlink r:id="rId33" ref="K12"/>
    <hyperlink r:id="rId34" ref="A13"/>
    <hyperlink r:id="rId35" ref="C13"/>
    <hyperlink r:id="rId36" location=":~:text=Market%20research%20is%20conducted%20before,vary%20between%20%245%2C000%20and%20%2415%2C000." ref="K13"/>
    <hyperlink r:id="rId37" location=":~:text=Simple%20apps%20with%20basic%20functionality,%2430%2C000%20to%20%24500%2C000%20and%20more." ref="A14"/>
    <hyperlink r:id="rId38" ref="K14"/>
    <hyperlink r:id="rId39" ref="A15"/>
    <hyperlink r:id="rId40" ref="C15"/>
    <hyperlink r:id="rId41" ref="K15"/>
    <hyperlink r:id="rId42" ref="A16"/>
    <hyperlink r:id="rId43" ref="K16"/>
    <hyperlink r:id="rId44" ref="A17"/>
    <hyperlink r:id="rId45" ref="K17"/>
    <hyperlink r:id="rId46" ref="K18"/>
    <hyperlink r:id="rId47" ref="K19"/>
    <hyperlink r:id="rId48" ref="K20"/>
    <hyperlink r:id="rId49" ref="K21"/>
    <hyperlink r:id="rId50" ref="K22"/>
    <hyperlink r:id="rId51" ref="B3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38"/>
    <col customWidth="1" min="3" max="3" width="26.88"/>
    <col customWidth="1" min="7" max="7" width="30.13"/>
    <col customWidth="1" min="8" max="8" width="11.63"/>
    <col customWidth="1" min="9" max="9" width="30.0"/>
    <col customWidth="1" min="10" max="10" width="11.38"/>
    <col customWidth="1" min="11" max="11" width="30.13"/>
    <col customWidth="1" min="12" max="12" width="11.75"/>
  </cols>
  <sheetData>
    <row r="1" ht="36.0" customHeight="1">
      <c r="A1" s="1" t="s">
        <v>0</v>
      </c>
      <c r="B1" s="1" t="s">
        <v>60</v>
      </c>
      <c r="C1" s="1" t="s">
        <v>61</v>
      </c>
      <c r="D1" s="1" t="s">
        <v>60</v>
      </c>
      <c r="E1" s="2"/>
      <c r="F1" s="3"/>
      <c r="G1" s="1" t="s">
        <v>62</v>
      </c>
      <c r="H1" s="1" t="s">
        <v>60</v>
      </c>
      <c r="I1" s="1" t="s">
        <v>5</v>
      </c>
      <c r="J1" s="1" t="s">
        <v>60</v>
      </c>
      <c r="K1" s="1" t="s">
        <v>63</v>
      </c>
      <c r="L1" s="1" t="s">
        <v>60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9" t="s">
        <v>64</v>
      </c>
      <c r="B2" s="9">
        <v>24.0</v>
      </c>
      <c r="C2" s="9" t="s">
        <v>32</v>
      </c>
      <c r="D2" s="9">
        <v>17.0</v>
      </c>
      <c r="E2" s="2"/>
      <c r="F2" s="2"/>
      <c r="G2" s="9" t="s">
        <v>65</v>
      </c>
      <c r="H2" s="9">
        <v>12.0</v>
      </c>
      <c r="I2" s="9" t="s">
        <v>66</v>
      </c>
      <c r="J2" s="9">
        <v>30.0</v>
      </c>
      <c r="K2" s="9" t="s">
        <v>10</v>
      </c>
      <c r="L2" s="9">
        <v>4.8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6.25" customHeight="1">
      <c r="A3" s="9" t="s">
        <v>67</v>
      </c>
      <c r="B3" s="9">
        <v>0.6</v>
      </c>
      <c r="C3" s="9" t="s">
        <v>68</v>
      </c>
      <c r="D3" s="9">
        <v>12.0</v>
      </c>
      <c r="E3" s="2"/>
      <c r="F3" s="2"/>
      <c r="G3" s="32" t="s">
        <v>69</v>
      </c>
      <c r="H3" s="9">
        <v>6.0</v>
      </c>
      <c r="I3" s="9" t="s">
        <v>70</v>
      </c>
      <c r="J3" s="9">
        <v>20.0</v>
      </c>
      <c r="K3" s="9" t="s">
        <v>39</v>
      </c>
      <c r="L3" s="9">
        <v>8.0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6.25" customHeight="1">
      <c r="A4" s="9" t="s">
        <v>71</v>
      </c>
      <c r="B4" s="9">
        <v>2.4</v>
      </c>
      <c r="C4" s="9" t="s">
        <v>72</v>
      </c>
      <c r="D4" s="9">
        <v>6.0</v>
      </c>
      <c r="E4" s="2"/>
      <c r="F4" s="2"/>
      <c r="G4" s="7"/>
      <c r="H4" s="7"/>
      <c r="I4" s="9" t="s">
        <v>73</v>
      </c>
      <c r="J4" s="9">
        <v>16.0</v>
      </c>
      <c r="K4" s="9" t="s">
        <v>74</v>
      </c>
      <c r="L4" s="9">
        <v>1.6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6.25" customHeight="1">
      <c r="A5" s="9" t="s">
        <v>75</v>
      </c>
      <c r="B5" s="9">
        <v>0.6</v>
      </c>
      <c r="C5" s="9" t="s">
        <v>76</v>
      </c>
      <c r="D5" s="9">
        <v>4.0</v>
      </c>
      <c r="E5" s="2"/>
      <c r="F5" s="2"/>
      <c r="G5" s="7"/>
      <c r="H5" s="7"/>
      <c r="I5" s="9" t="s">
        <v>77</v>
      </c>
      <c r="J5" s="9">
        <v>8.0</v>
      </c>
      <c r="K5" s="9" t="s">
        <v>78</v>
      </c>
      <c r="L5" s="9">
        <v>3.0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6.25" customHeight="1">
      <c r="A6" s="9" t="s">
        <v>79</v>
      </c>
      <c r="B6" s="9">
        <v>0.8</v>
      </c>
      <c r="C6" s="9" t="s">
        <v>80</v>
      </c>
      <c r="D6" s="9">
        <v>2.4</v>
      </c>
      <c r="E6" s="2"/>
      <c r="F6" s="2"/>
      <c r="G6" s="7"/>
      <c r="H6" s="10"/>
      <c r="I6" s="10"/>
      <c r="J6" s="10"/>
      <c r="K6" s="9" t="s">
        <v>81</v>
      </c>
      <c r="L6" s="9">
        <v>1.3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6.25" customHeight="1">
      <c r="A7" s="9" t="s">
        <v>81</v>
      </c>
      <c r="B7" s="9">
        <v>3.0</v>
      </c>
      <c r="C7" s="9" t="s">
        <v>82</v>
      </c>
      <c r="D7" s="9">
        <v>6.0</v>
      </c>
      <c r="E7" s="2"/>
      <c r="F7" s="2"/>
      <c r="G7" s="10"/>
      <c r="H7" s="10"/>
      <c r="I7" s="10"/>
      <c r="J7" s="10"/>
      <c r="K7" s="10"/>
      <c r="L7" s="10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6.25" customHeight="1">
      <c r="A8" s="9" t="s">
        <v>10</v>
      </c>
      <c r="B8" s="9">
        <v>4.8</v>
      </c>
      <c r="C8" s="9" t="s">
        <v>83</v>
      </c>
      <c r="D8" s="9">
        <v>1.5</v>
      </c>
      <c r="E8" s="2"/>
      <c r="F8" s="2"/>
      <c r="G8" s="10"/>
      <c r="H8" s="10"/>
      <c r="I8" s="10"/>
      <c r="J8" s="10"/>
      <c r="K8" s="10"/>
      <c r="L8" s="10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6.25" customHeight="1">
      <c r="A9" s="9" t="s">
        <v>39</v>
      </c>
      <c r="B9" s="9">
        <v>8.0</v>
      </c>
      <c r="C9" s="9" t="s">
        <v>84</v>
      </c>
      <c r="D9" s="9">
        <v>10.0</v>
      </c>
      <c r="E9" s="2"/>
      <c r="F9" s="2"/>
      <c r="G9" s="10"/>
      <c r="H9" s="10"/>
      <c r="I9" s="10"/>
      <c r="J9" s="10"/>
      <c r="K9" s="10"/>
      <c r="L9" s="10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6.25" customHeight="1">
      <c r="A10" s="9" t="s">
        <v>74</v>
      </c>
      <c r="B10" s="9">
        <v>1.6</v>
      </c>
      <c r="C10" s="9" t="s">
        <v>85</v>
      </c>
      <c r="D10" s="9">
        <v>3.0</v>
      </c>
      <c r="E10" s="2"/>
      <c r="F10" s="2"/>
      <c r="G10" s="10"/>
      <c r="H10" s="10"/>
      <c r="I10" s="10"/>
      <c r="J10" s="10"/>
      <c r="K10" s="10"/>
      <c r="L10" s="10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6.25" customHeight="1">
      <c r="A11" s="9" t="s">
        <v>78</v>
      </c>
      <c r="B11" s="9">
        <v>3.0</v>
      </c>
      <c r="C11" s="9" t="s">
        <v>86</v>
      </c>
      <c r="D11" s="9">
        <v>61.9</v>
      </c>
      <c r="E11" s="2"/>
      <c r="F11" s="2"/>
      <c r="G11" s="10"/>
      <c r="H11" s="10"/>
      <c r="I11" s="10"/>
      <c r="J11" s="10"/>
      <c r="K11" s="10"/>
      <c r="L11" s="10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6.25" customHeight="1">
      <c r="A12" s="9" t="s">
        <v>87</v>
      </c>
      <c r="B12" s="9">
        <v>48.8</v>
      </c>
      <c r="C12" s="10"/>
      <c r="D12" s="10"/>
      <c r="E12" s="2"/>
      <c r="F12" s="2"/>
      <c r="G12" s="10"/>
      <c r="H12" s="10"/>
      <c r="I12" s="10"/>
      <c r="J12" s="10"/>
      <c r="K12" s="10"/>
      <c r="L12" s="10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6.25" customHeight="1">
      <c r="A13" s="10"/>
      <c r="B13" s="10"/>
      <c r="C13" s="10"/>
      <c r="D13" s="10"/>
      <c r="E13" s="2"/>
      <c r="F13" s="2"/>
      <c r="G13" s="10"/>
      <c r="H13" s="10"/>
      <c r="I13" s="10"/>
      <c r="J13" s="10"/>
      <c r="K13" s="10"/>
      <c r="L13" s="10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6.25" customHeight="1">
      <c r="A14" s="10"/>
      <c r="B14" s="10"/>
      <c r="C14" s="10"/>
      <c r="D14" s="33"/>
      <c r="E14" s="34" t="s">
        <v>44</v>
      </c>
      <c r="F14" s="2"/>
      <c r="G14" s="10"/>
      <c r="H14" s="10"/>
      <c r="I14" s="10"/>
      <c r="J14" s="10"/>
      <c r="K14" s="10"/>
      <c r="L14" s="33"/>
      <c r="M14" s="34" t="s">
        <v>44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6.25" customHeight="1">
      <c r="A15" s="30" t="s">
        <v>47</v>
      </c>
      <c r="B15" s="20">
        <f>SUM(B2:B14)</f>
        <v>97.6</v>
      </c>
      <c r="C15" s="30" t="s">
        <v>48</v>
      </c>
      <c r="D15" s="20">
        <f>SUM(D2:D14)</f>
        <v>123.8</v>
      </c>
      <c r="E15" s="22">
        <f>B15+D15</f>
        <v>221.4</v>
      </c>
      <c r="F15" s="2"/>
      <c r="G15" s="30" t="s">
        <v>49</v>
      </c>
      <c r="H15" s="20">
        <f>SUM(H2:H14)</f>
        <v>18</v>
      </c>
      <c r="I15" s="30" t="s">
        <v>50</v>
      </c>
      <c r="J15" s="20">
        <f>SUM(J2:J14)</f>
        <v>74</v>
      </c>
      <c r="K15" s="30" t="s">
        <v>51</v>
      </c>
      <c r="L15" s="20">
        <f>SUM(L2:L14)</f>
        <v>18.7</v>
      </c>
      <c r="M15" s="22">
        <f>H15+J15+L15</f>
        <v>110.7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6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6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6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